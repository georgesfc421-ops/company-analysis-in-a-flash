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inancials" sheetId="2" state="visible" r:id="rId2"/>
    <sheet name="Ratios" sheetId="3" state="visible" r:id="rId3"/>
    <sheet name="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_);_($* (#,##0);_($* &quot;-&quot;_);_(@_)"/>
    <numFmt numFmtId="165" formatCode="0.0%"/>
    <numFmt numFmtId="166" formatCode="0.00&quot;x&quot;"/>
  </numFmts>
  <fonts count="11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666666"/>
      <sz val="10"/>
    </font>
    <font>
      <b val="1"/>
      <color rgb="00FFFFFF"/>
    </font>
    <font>
      <b val="1"/>
      <color rgb="001F3A5F"/>
      <sz val="12"/>
    </font>
    <font>
      <b val="1"/>
      <color rgb="001565C0"/>
    </font>
    <font>
      <i val="1"/>
      <color rgb="001565C0"/>
    </font>
    <font>
      <b val="1"/>
      <color rgb="00FFFFFF"/>
      <sz val="9"/>
    </font>
    <font>
      <b val="1"/>
      <color rgb="001F3A5F"/>
      <sz val="16"/>
    </font>
    <font>
      <b val="1"/>
      <color rgb="00558B2F"/>
      <sz val="28"/>
    </font>
    <font>
      <b val="1"/>
      <color rgb="00FFFFFF"/>
      <sz val="2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  <fill>
      <patternFill patternType="solid">
        <fgColor rgb="00FFF8E1"/>
      </patternFill>
    </fill>
    <fill>
      <patternFill patternType="solid">
        <fgColor rgb="00558B2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6" fontId="0" fillId="0" borderId="1" pivotButton="0" quotePrefix="0" xfId="0"/>
    <xf numFmtId="165" fontId="5" fillId="4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Net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'Financials'!A5</f>
            </strRef>
          </tx>
          <spPr>
            <a:ln>
              <a:prstDash val="solid"/>
            </a:ln>
          </spPr>
          <cat>
            <numRef>
              <f>'Financials'!$B$4:$D$4</f>
            </numRef>
          </cat>
          <val>
            <numRef>
              <f>'Financials'!$B$5:$D$5</f>
            </numRef>
          </val>
        </ser>
        <ser>
          <idx val="1"/>
          <order val="1"/>
          <tx>
            <strRef>
              <f>'Financials'!A10</f>
            </strRef>
          </tx>
          <spPr>
            <a:ln>
              <a:prstDash val="solid"/>
            </a:ln>
          </spPr>
          <cat>
            <numRef>
              <f>'Financials'!$B$4:$D$4</f>
            </numRef>
          </cat>
          <val>
            <numRef>
              <f>'Financials'!$B$10:$D$10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Trends</a:t>
            </a:r>
          </a:p>
        </rich>
      </tx>
    </title>
    <plotArea>
      <lineChart>
        <grouping val="standard"/>
        <ser>
          <idx val="0"/>
          <order val="0"/>
          <tx>
            <strRef>
              <f>'Ratios'!A5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'Ratios'!$B$4:$D$4</f>
            </numRef>
          </cat>
          <val>
            <numRef>
              <f>'Ratios'!$B$5:$D$5</f>
            </numRef>
          </val>
        </ser>
        <ser>
          <idx val="1"/>
          <order val="1"/>
          <tx>
            <strRef>
              <f>'Ratios'!A6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'Ratios'!$B$4:$D$4</f>
            </numRef>
          </cat>
          <val>
            <numRef>
              <f>'Ratios'!$B$6:$D$6</f>
            </numRef>
          </val>
        </ser>
        <ser>
          <idx val="2"/>
          <order val="2"/>
          <tx>
            <strRef>
              <f>'Ratios'!A7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'Ratios'!$B$4:$D$4</f>
            </numRef>
          </cat>
          <val>
            <numRef>
              <f>'Ratios'!$B$7:$D$7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Net Income: Actual +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'Forecast'!$A$9:$A$14</f>
            </numRef>
          </cat>
          <val>
            <numRef>
              <f>'Forecast'!$B$9:$B$14</f>
            </numRef>
          </val>
        </ser>
        <ser>
          <idx val="1"/>
          <order val="1"/>
          <tx>
            <strRef>
              <f>'Forecast'!C8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'Forecast'!$A$9:$A$14</f>
            </numRef>
          </cat>
          <val>
            <numRef>
              <f>'Forecast'!$C$9:$C$14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Harbor Street Bakery — Company Analysis</t>
        </is>
      </c>
    </row>
    <row r="2">
      <c r="A2" s="2" t="inlineStr">
        <is>
          <t>Generated October 04, 2026</t>
        </is>
      </c>
    </row>
    <row r="4">
      <c r="A4" s="3" t="inlineStr">
        <is>
          <t>Revenue 2024</t>
        </is>
      </c>
      <c r="B4" s="3" t="inlineStr">
        <is>
          <t>Revenue CAGR</t>
        </is>
      </c>
      <c r="C4" s="3" t="inlineStr">
        <is>
          <t>Net Margin</t>
        </is>
      </c>
      <c r="D4" s="3" t="inlineStr">
        <is>
          <t>ROE</t>
        </is>
      </c>
      <c r="E4" s="3" t="inlineStr">
        <is>
          <t>Current Ratio</t>
        </is>
      </c>
      <c r="F4" s="3" t="inlineStr">
        <is>
          <t>Debt / Equity</t>
        </is>
      </c>
    </row>
    <row r="5" ht="30" customHeight="1">
      <c r="A5" s="4" t="inlineStr">
        <is>
          <t>$1.0M</t>
        </is>
      </c>
      <c r="B5" s="4" t="inlineStr">
        <is>
          <t>11.3%</t>
        </is>
      </c>
      <c r="C5" s="4" t="inlineStr">
        <is>
          <t>9.5%</t>
        </is>
      </c>
      <c r="D5" s="4" t="inlineStr">
        <is>
          <t>27.4%</t>
        </is>
      </c>
      <c r="E5" s="4" t="inlineStr">
        <is>
          <t>2.42x</t>
        </is>
      </c>
      <c r="F5" s="4" t="inlineStr">
        <is>
          <t>0.74x</t>
        </is>
      </c>
    </row>
    <row r="7">
      <c r="A7" s="5" t="inlineStr">
        <is>
          <t>Financial Health Score</t>
        </is>
      </c>
    </row>
    <row r="8" ht="40" customHeight="1">
      <c r="A8" s="6" t="n">
        <v>75.40000000000001</v>
      </c>
      <c r="B8" s="7" t="inlineStr">
        <is>
          <t>Grade B</t>
        </is>
      </c>
    </row>
    <row r="10">
      <c r="A10" s="8" t="inlineStr">
        <is>
          <t>Component</t>
        </is>
      </c>
      <c r="B10" s="8" t="inlineStr">
        <is>
          <t>Weight</t>
        </is>
      </c>
      <c r="C10" s="8" t="inlineStr">
        <is>
          <t>Score</t>
        </is>
      </c>
    </row>
    <row r="11">
      <c r="A11" s="9" t="inlineStr">
        <is>
          <t>Profitability</t>
        </is>
      </c>
      <c r="B11" s="10" t="n">
        <v>0.25</v>
      </c>
      <c r="C11" s="10" t="n">
        <v>0.4729064039408867</v>
      </c>
    </row>
    <row r="12">
      <c r="A12" s="9" t="inlineStr">
        <is>
          <t>Growth</t>
        </is>
      </c>
      <c r="B12" s="10" t="n">
        <v>0.25</v>
      </c>
      <c r="C12" s="10" t="n">
        <v>0.7504453141181289</v>
      </c>
    </row>
    <row r="13">
      <c r="A13" s="9" t="inlineStr">
        <is>
          <t>Liquidity</t>
        </is>
      </c>
      <c r="B13" s="10" t="n">
        <v>0.2</v>
      </c>
      <c r="C13" s="10" t="n">
        <v>1</v>
      </c>
    </row>
    <row r="14">
      <c r="A14" s="9" t="inlineStr">
        <is>
          <t>Leverage</t>
        </is>
      </c>
      <c r="B14" s="10" t="n">
        <v>0.15</v>
      </c>
      <c r="C14" s="10" t="n">
        <v>0.9028571428571428</v>
      </c>
    </row>
    <row r="15">
      <c r="A15" s="9" t="inlineStr">
        <is>
          <t>Cash Generation</t>
        </is>
      </c>
      <c r="B15" s="10" t="n">
        <v>0.15</v>
      </c>
      <c r="C15" s="10" t="inlineStr">
        <is>
          <t>no data</t>
        </is>
      </c>
    </row>
    <row r="17">
      <c r="A17" s="5" t="inlineStr">
        <is>
          <t>Key Insights</t>
        </is>
      </c>
    </row>
    <row r="18">
      <c r="A18" t="inlineStr">
        <is>
          <t>✔  Revenue grew from $820.0K to $1.0M (11.3% CAGR over 2 years).</t>
        </is>
      </c>
    </row>
    <row r="19">
      <c r="A19" t="inlineStr">
        <is>
          <t>✔  Net margin expanded from 7.4% to 9.5%.</t>
        </is>
      </c>
    </row>
    <row r="20">
      <c r="A20" t="inlineStr">
        <is>
          <t>✔  Gross margin of 60.9% in 2024.</t>
        </is>
      </c>
    </row>
    <row r="21">
      <c r="A21" t="inlineStr">
        <is>
          <t>✔  Return on equity is strong at 27.4%.</t>
        </is>
      </c>
    </row>
    <row r="22">
      <c r="A22" t="inlineStr">
        <is>
          <t>✔  Current ratio of 2.42x covers short-term obligations.</t>
        </is>
      </c>
    </row>
    <row r="23">
      <c r="A23" t="inlineStr">
        <is>
          <t>✔  Debt-to-equity of 0.74x.</t>
        </is>
      </c>
    </row>
    <row r="25">
      <c r="A25" s="2" t="inlineStr">
        <is>
          <t>Score = weighted blend of net margin, revenue CAGR, current ratio, debt-to-equity and FCF margin. For informational purposes only.</t>
        </is>
      </c>
    </row>
  </sheetData>
  <conditionalFormatting sqref="C11:C15">
    <cfRule type="dataBar" priority="1">
      <dataBar>
        <cfvo type="num" val="0"/>
        <cfvo type="num" val="1"/>
        <color rgb="001F3A5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Harbor Street Bakery — Financial Statements</t>
        </is>
      </c>
    </row>
    <row r="2">
      <c r="A2" s="2" t="inlineStr">
        <is>
          <t>Generated October 04, 2026</t>
        </is>
      </c>
    </row>
    <row r="4">
      <c r="A4" s="8" t="inlineStr">
        <is>
          <t>Line Item</t>
        </is>
      </c>
      <c r="B4" s="8" t="inlineStr">
        <is>
          <t>2022</t>
        </is>
      </c>
      <c r="C4" s="8" t="inlineStr">
        <is>
          <t>2023</t>
        </is>
      </c>
      <c r="D4" s="8" t="inlineStr">
        <is>
          <t>2024</t>
        </is>
      </c>
    </row>
    <row r="5">
      <c r="A5" s="9" t="inlineStr">
        <is>
          <t>Revenue</t>
        </is>
      </c>
      <c r="B5" s="11" t="n">
        <v>820000</v>
      </c>
      <c r="C5" s="11" t="n">
        <v>910000</v>
      </c>
      <c r="D5" s="11" t="n">
        <v>1015000</v>
      </c>
    </row>
    <row r="6">
      <c r="A6" s="12" t="inlineStr">
        <is>
          <t>Cost of Goods Sold</t>
        </is>
      </c>
      <c r="B6" s="13" t="n">
        <v>330000</v>
      </c>
      <c r="C6" s="13" t="n">
        <v>361000</v>
      </c>
      <c r="D6" s="13" t="n">
        <v>397000</v>
      </c>
    </row>
    <row r="7">
      <c r="A7" s="9" t="inlineStr">
        <is>
          <t>Operating Expenses</t>
        </is>
      </c>
      <c r="B7" s="11" t="n">
        <v>380000</v>
      </c>
      <c r="C7" s="11" t="n">
        <v>411000</v>
      </c>
      <c r="D7" s="11" t="n">
        <v>450000</v>
      </c>
    </row>
    <row r="8">
      <c r="A8" s="12" t="inlineStr">
        <is>
          <t>Interest Expense</t>
        </is>
      </c>
      <c r="B8" s="13" t="n">
        <v>14000</v>
      </c>
      <c r="C8" s="13" t="n">
        <v>12500</v>
      </c>
      <c r="D8" s="13" t="n">
        <v>11000</v>
      </c>
    </row>
    <row r="9">
      <c r="A9" s="9" t="inlineStr">
        <is>
          <t>Taxes</t>
        </is>
      </c>
      <c r="B9" s="11" t="n">
        <v>35000</v>
      </c>
      <c r="C9" s="11" t="n">
        <v>47500</v>
      </c>
      <c r="D9" s="11" t="n">
        <v>61000</v>
      </c>
    </row>
    <row r="10">
      <c r="A10" s="12" t="inlineStr">
        <is>
          <t>Net Income</t>
        </is>
      </c>
      <c r="B10" s="13" t="n">
        <v>61000</v>
      </c>
      <c r="C10" s="13" t="n">
        <v>78000</v>
      </c>
      <c r="D10" s="13" t="n">
        <v>96000</v>
      </c>
    </row>
    <row r="11">
      <c r="A11" s="9" t="inlineStr">
        <is>
          <t>Total Assets</t>
        </is>
      </c>
      <c r="B11" s="11" t="n"/>
      <c r="C11" s="11" t="n">
        <v>540000</v>
      </c>
      <c r="D11" s="11" t="n">
        <v>610000</v>
      </c>
    </row>
    <row r="12">
      <c r="A12" s="12" t="inlineStr">
        <is>
          <t>Total Liabilities</t>
        </is>
      </c>
      <c r="B12" s="13" t="n"/>
      <c r="C12" s="13" t="n">
        <v>240000</v>
      </c>
      <c r="D12" s="13" t="n">
        <v>260000</v>
      </c>
    </row>
    <row r="13">
      <c r="A13" s="9" t="inlineStr">
        <is>
          <t>Shareholder Equity</t>
        </is>
      </c>
      <c r="B13" s="11" t="n"/>
      <c r="C13" s="11" t="n">
        <v>300000</v>
      </c>
      <c r="D13" s="11" t="n">
        <v>350000</v>
      </c>
    </row>
    <row r="14">
      <c r="A14" s="12" t="inlineStr">
        <is>
          <t>Current Assets</t>
        </is>
      </c>
      <c r="B14" s="13" t="n"/>
      <c r="C14" s="13" t="n">
        <v>200000</v>
      </c>
      <c r="D14" s="13" t="n">
        <v>230000</v>
      </c>
    </row>
    <row r="15">
      <c r="A15" s="9" t="inlineStr">
        <is>
          <t>Current Liabilities</t>
        </is>
      </c>
      <c r="B15" s="11" t="n"/>
      <c r="C15" s="11" t="n">
        <v>85000</v>
      </c>
      <c r="D15" s="11" t="n">
        <v>95000</v>
      </c>
    </row>
    <row r="16">
      <c r="A16" s="12" t="inlineStr">
        <is>
          <t>Cash</t>
        </is>
      </c>
      <c r="B16" s="13" t="n"/>
      <c r="C16" s="13" t="n">
        <v>150000</v>
      </c>
      <c r="D16" s="13" t="n">
        <v>185000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Harbor Street Bakery — Key Ratios</t>
        </is>
      </c>
    </row>
    <row r="2">
      <c r="A2" s="2" t="inlineStr">
        <is>
          <t>Generated October 04, 2026 · Live formulas linked to Financials</t>
        </is>
      </c>
    </row>
    <row r="4">
      <c r="A4" s="8" t="inlineStr">
        <is>
          <t>Ratio</t>
        </is>
      </c>
      <c r="B4" s="8" t="inlineStr">
        <is>
          <t>2022</t>
        </is>
      </c>
      <c r="C4" s="8" t="inlineStr">
        <is>
          <t>2023</t>
        </is>
      </c>
      <c r="D4" s="8" t="inlineStr">
        <is>
          <t>2024</t>
        </is>
      </c>
    </row>
    <row r="5">
      <c r="A5" s="9" t="inlineStr">
        <is>
          <t>Gross Margin</t>
        </is>
      </c>
      <c r="B5" s="14">
        <f>IFERROR((Financials!$B$5-Financials!$B$6)/Financials!$B$5,"")</f>
        <v/>
      </c>
      <c r="C5" s="14">
        <f>IFERROR((Financials!$C$5-Financials!$C$6)/Financials!$C$5,"")</f>
        <v/>
      </c>
      <c r="D5" s="14">
        <f>IFERROR((Financials!$D$5-Financials!$D$6)/Financials!$D$5,"")</f>
        <v/>
      </c>
    </row>
    <row r="6">
      <c r="A6" s="12" t="inlineStr">
        <is>
          <t>Operating Margin</t>
        </is>
      </c>
      <c r="B6" s="15">
        <f>IFERROR((Financials!$B$5-Financials!$B$6-Financials!$B$7)/Financials!$B$5,"")</f>
        <v/>
      </c>
      <c r="C6" s="15">
        <f>IFERROR((Financials!$C$5-Financials!$C$6-Financials!$C$7)/Financials!$C$5,"")</f>
        <v/>
      </c>
      <c r="D6" s="15">
        <f>IFERROR((Financials!$D$5-Financials!$D$6-Financials!$D$7)/Financials!$D$5,"")</f>
        <v/>
      </c>
    </row>
    <row r="7">
      <c r="A7" s="9" t="inlineStr">
        <is>
          <t>Net Margin</t>
        </is>
      </c>
      <c r="B7" s="14">
        <f>IFERROR(Financials!$B$10/Financials!$B$5,"")</f>
        <v/>
      </c>
      <c r="C7" s="14">
        <f>IFERROR(Financials!$C$10/Financials!$C$5,"")</f>
        <v/>
      </c>
      <c r="D7" s="14">
        <f>IFERROR(Financials!$D$10/Financials!$D$5,"")</f>
        <v/>
      </c>
    </row>
    <row r="8">
      <c r="A8" s="12" t="inlineStr">
        <is>
          <t>Revenue Growth (YoY)</t>
        </is>
      </c>
      <c r="B8" s="15" t="n"/>
      <c r="C8" s="15">
        <f>IFERROR((Financials!$C$5-Financials!$B$5)/ABS(Financials!$B$5),"")</f>
        <v/>
      </c>
      <c r="D8" s="15">
        <f>IFERROR((Financials!$D$5-Financials!$C$5)/ABS(Financials!$C$5),"")</f>
        <v/>
      </c>
    </row>
    <row r="9">
      <c r="A9" s="9" t="inlineStr">
        <is>
          <t>Net Income Growth (YoY)</t>
        </is>
      </c>
      <c r="B9" s="14" t="n"/>
      <c r="C9" s="14">
        <f>IFERROR((Financials!$C$10-Financials!$B$10)/ABS(Financials!$B$10),"")</f>
        <v/>
      </c>
      <c r="D9" s="14">
        <f>IFERROR((Financials!$D$10-Financials!$C$10)/ABS(Financials!$C$10),"")</f>
        <v/>
      </c>
    </row>
    <row r="10">
      <c r="A10" s="12" t="inlineStr">
        <is>
          <t>Return on Assets</t>
        </is>
      </c>
      <c r="B10" s="15">
        <f>IFERROR(Financials!$B$10/Financials!$B$11,"")</f>
        <v/>
      </c>
      <c r="C10" s="15">
        <f>IFERROR(Financials!$C$10/Financials!$C$11,"")</f>
        <v/>
      </c>
      <c r="D10" s="15">
        <f>IFERROR(Financials!$D$10/Financials!$D$11,"")</f>
        <v/>
      </c>
    </row>
    <row r="11">
      <c r="A11" s="9" t="inlineStr">
        <is>
          <t>Return on Equity</t>
        </is>
      </c>
      <c r="B11" s="14">
        <f>IFERROR(Financials!$B$10/Financials!$B$13,"")</f>
        <v/>
      </c>
      <c r="C11" s="14">
        <f>IFERROR(Financials!$C$10/Financials!$C$13,"")</f>
        <v/>
      </c>
      <c r="D11" s="14">
        <f>IFERROR(Financials!$D$10/Financials!$D$13,"")</f>
        <v/>
      </c>
    </row>
    <row r="12">
      <c r="A12" s="12" t="inlineStr">
        <is>
          <t>Current Ratio</t>
        </is>
      </c>
      <c r="B12" s="16">
        <f>IFERROR(Financials!$B$14/Financials!$B$15,"")</f>
        <v/>
      </c>
      <c r="C12" s="16">
        <f>IFERROR(Financials!$C$14/Financials!$C$15,"")</f>
        <v/>
      </c>
      <c r="D12" s="16">
        <f>IFERROR(Financials!$D$14/Financials!$D$15,"")</f>
        <v/>
      </c>
    </row>
    <row r="13">
      <c r="A13" s="9" t="inlineStr">
        <is>
          <t>Debt to Equity</t>
        </is>
      </c>
      <c r="B13" s="17">
        <f>IFERROR(Financials!$B$12/Financials!$B$13,"")</f>
        <v/>
      </c>
      <c r="C13" s="17">
        <f>IFERROR(Financials!$C$12/Financials!$C$13,"")</f>
        <v/>
      </c>
      <c r="D13" s="17">
        <f>IFERROR(Financials!$D$12/Financials!$D$13,"")</f>
        <v/>
      </c>
    </row>
    <row r="14">
      <c r="A14" s="12" t="inlineStr">
        <is>
          <t>Interest Coverage</t>
        </is>
      </c>
      <c r="B14" s="16">
        <f>IFERROR((Financials!$B$5-Financials!$B$6-Financials!$B$7)/Financials!$B$8,"")</f>
        <v/>
      </c>
      <c r="C14" s="16">
        <f>IFERROR((Financials!$C$5-Financials!$C$6-Financials!$C$7)/Financials!$C$8,"")</f>
        <v/>
      </c>
      <c r="D14" s="16">
        <f>IFERROR((Financials!$D$5-Financials!$D$6-Financials!$D$7)/Financials!$D$8,"")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Harbor Street Bakery — Projection</t>
        </is>
      </c>
    </row>
    <row r="2">
      <c r="A2" s="2" t="inlineStr">
        <is>
          <t>Generated October 04, 2026</t>
        </is>
      </c>
    </row>
    <row r="4">
      <c r="A4" s="5" t="inlineStr">
        <is>
          <t>Assumptions (edit the yellow cells)</t>
        </is>
      </c>
    </row>
    <row r="5">
      <c r="A5" t="inlineStr">
        <is>
          <t>Annual revenue growth</t>
        </is>
      </c>
      <c r="B5" s="18" t="n">
        <v>0.1125667971177193</v>
      </c>
    </row>
    <row r="6">
      <c r="A6" t="inlineStr">
        <is>
          <t>Net margin</t>
        </is>
      </c>
      <c r="B6" s="18" t="n">
        <v>0.08489527013496735</v>
      </c>
    </row>
    <row r="8">
      <c r="A8" s="8" t="inlineStr">
        <is>
          <t>Year</t>
        </is>
      </c>
      <c r="B8" s="8" t="inlineStr">
        <is>
          <t>Revenue</t>
        </is>
      </c>
      <c r="C8" s="8" t="inlineStr">
        <is>
          <t>Net Income</t>
        </is>
      </c>
      <c r="D8" s="8" t="inlineStr">
        <is>
          <t>Type</t>
        </is>
      </c>
    </row>
    <row r="9">
      <c r="A9" s="9" t="n">
        <v>2022</v>
      </c>
      <c r="B9" s="11" t="n">
        <v>820000</v>
      </c>
      <c r="C9" s="11" t="n">
        <v>61000</v>
      </c>
      <c r="D9" s="9" t="inlineStr">
        <is>
          <t>Actual</t>
        </is>
      </c>
    </row>
    <row r="10">
      <c r="A10" s="9" t="n">
        <v>2023</v>
      </c>
      <c r="B10" s="11" t="n">
        <v>910000</v>
      </c>
      <c r="C10" s="11" t="n">
        <v>78000</v>
      </c>
      <c r="D10" s="9" t="inlineStr">
        <is>
          <t>Actual</t>
        </is>
      </c>
    </row>
    <row r="11">
      <c r="A11" s="9" t="n">
        <v>2024</v>
      </c>
      <c r="B11" s="11" t="n">
        <v>1015000</v>
      </c>
      <c r="C11" s="11" t="n">
        <v>96000</v>
      </c>
      <c r="D11" s="9" t="inlineStr">
        <is>
          <t>Actual</t>
        </is>
      </c>
    </row>
    <row r="12">
      <c r="A12" s="19">
        <f>A11+1</f>
        <v/>
      </c>
      <c r="B12" s="20">
        <f>B11*(1+$B$5)</f>
        <v/>
      </c>
      <c r="C12" s="20">
        <f>B12*$B$6</f>
        <v/>
      </c>
      <c r="D12" s="19" t="inlineStr">
        <is>
          <t>Forecast</t>
        </is>
      </c>
    </row>
    <row r="13">
      <c r="A13" s="19">
        <f>A12+1</f>
        <v/>
      </c>
      <c r="B13" s="20">
        <f>B12*(1+$B$5)</f>
        <v/>
      </c>
      <c r="C13" s="20">
        <f>B13*$B$6</f>
        <v/>
      </c>
      <c r="D13" s="19" t="inlineStr">
        <is>
          <t>Forecast</t>
        </is>
      </c>
    </row>
    <row r="14">
      <c r="A14" s="19">
        <f>A13+1</f>
        <v/>
      </c>
      <c r="B14" s="20">
        <f>B13*(1+$B$5)</f>
        <v/>
      </c>
      <c r="C14" s="20">
        <f>B14*$B$6</f>
        <v/>
      </c>
      <c r="D14" s="19" t="inlineStr">
        <is>
          <t>Forecast</t>
        </is>
      </c>
    </row>
    <row r="16">
      <c r="A16" s="2" t="inlineStr">
        <is>
          <t>Projection uses the historical revenue CAGR and the average net margin of the last 3 years. It is an illustration, not investment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Harbor Street Bakery — Company Analysis</dc:title>
  <dcterms:created xsi:type="dcterms:W3CDTF">2026-10-04T22:02:31Z</dcterms:created>
  <dcterms:modified xsi:type="dcterms:W3CDTF">2026-10-04T22:02:31Z</dcterms:modified>
</cp:coreProperties>
</file>