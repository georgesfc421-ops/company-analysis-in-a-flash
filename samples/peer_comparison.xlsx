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_);_($* (#,##0);_($* &quot;-&quot;_);_(@_)"/>
    <numFmt numFmtId="165" formatCode="0.0%"/>
    <numFmt numFmtId="166" formatCode="0.00&quot;x&quot;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  <fill>
      <patternFill patternType="solid">
        <fgColor rgb="00F3F6FA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1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Financial Health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'Comparison'!L4</f>
            </strRef>
          </tx>
          <spPr>
            <a:ln>
              <a:prstDash val="solid"/>
            </a:ln>
          </spPr>
          <cat>
            <numRef>
              <f>'Comparison'!$B$5:$B$7</f>
            </numRef>
          </cat>
          <val>
            <numRef>
              <f>'Comparison'!$L$5:$L$7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6" customWidth="1" min="4" max="4"/>
    <col width="13" customWidth="1" min="5" max="5"/>
    <col width="13" customWidth="1" min="6" max="6"/>
    <col width="12" customWidth="1" min="7" max="7"/>
    <col width="10" customWidth="1" min="8" max="8"/>
    <col width="13" customWidth="1" min="9" max="9"/>
    <col width="13" customWidth="1" min="10" max="10"/>
    <col width="12" customWidth="1" min="11" max="11"/>
    <col width="9" customWidth="1" min="12" max="12"/>
    <col width="8" customWidth="1" min="13" max="13"/>
  </cols>
  <sheetData>
    <row r="1">
      <c r="A1" s="1" t="inlineStr">
        <is>
          <t>Peer Comparison</t>
        </is>
      </c>
    </row>
    <row r="2">
      <c r="A2" s="2" t="inlineStr">
        <is>
          <t>Generated October 04, 2026</t>
        </is>
      </c>
    </row>
    <row r="4">
      <c r="A4" s="3" t="inlineStr">
        <is>
          <t>Rank</t>
        </is>
      </c>
      <c r="B4" s="3" t="inlineStr">
        <is>
          <t>Company</t>
        </is>
      </c>
      <c r="C4" s="3" t="inlineStr">
        <is>
          <t>Latest Year</t>
        </is>
      </c>
      <c r="D4" s="3" t="inlineStr">
        <is>
          <t>Revenue</t>
        </is>
      </c>
      <c r="E4" s="3" t="inlineStr">
        <is>
          <t>Revenue CAGR</t>
        </is>
      </c>
      <c r="F4" s="3" t="inlineStr">
        <is>
          <t>Gross Margin</t>
        </is>
      </c>
      <c r="G4" s="3" t="inlineStr">
        <is>
          <t>Net Margin</t>
        </is>
      </c>
      <c r="H4" s="3" t="inlineStr">
        <is>
          <t>ROE</t>
        </is>
      </c>
      <c r="I4" s="3" t="inlineStr">
        <is>
          <t>Current Ratio</t>
        </is>
      </c>
      <c r="J4" s="3" t="inlineStr">
        <is>
          <t>Debt / Equity</t>
        </is>
      </c>
      <c r="K4" s="3" t="inlineStr">
        <is>
          <t>FCF Margin</t>
        </is>
      </c>
      <c r="L4" s="3" t="inlineStr">
        <is>
          <t>Score</t>
        </is>
      </c>
      <c r="M4" s="3" t="inlineStr">
        <is>
          <t>Grade</t>
        </is>
      </c>
    </row>
    <row r="5">
      <c r="A5" s="4" t="n">
        <v>1</v>
      </c>
      <c r="B5" s="4" t="inlineStr">
        <is>
          <t>Northwind Coffee</t>
        </is>
      </c>
      <c r="C5" s="5" t="n">
        <v>2024</v>
      </c>
      <c r="D5" s="6" t="n">
        <v>7480000</v>
      </c>
      <c r="E5" s="7" t="n">
        <v>0.1552156848550905</v>
      </c>
      <c r="F5" s="7" t="n">
        <v>0.58</v>
      </c>
      <c r="G5" s="7" t="n">
        <v>0.1849197860962567</v>
      </c>
      <c r="H5" s="7" t="n">
        <v>0.3254588235294117</v>
      </c>
      <c r="I5" s="8" t="n">
        <v>2.974358974358974</v>
      </c>
      <c r="J5" s="8" t="n">
        <v>0.3294117647058823</v>
      </c>
      <c r="K5" s="7" t="n">
        <v>0.1537433155080214</v>
      </c>
      <c r="L5" s="9" t="n">
        <v>98.09999999999999</v>
      </c>
      <c r="M5" s="10" t="inlineStr">
        <is>
          <t>A</t>
        </is>
      </c>
    </row>
    <row r="6">
      <c r="A6" s="11" t="n">
        <v>2</v>
      </c>
      <c r="B6" s="11" t="inlineStr">
        <is>
          <t>Brightpath Software</t>
        </is>
      </c>
      <c r="C6" s="12" t="n">
        <v>2024</v>
      </c>
      <c r="D6" s="13" t="n">
        <v>9800000</v>
      </c>
      <c r="E6" s="14" t="n">
        <v>0.6710993116548616</v>
      </c>
      <c r="F6" s="14" t="n">
        <v>0.8295918367346938</v>
      </c>
      <c r="G6" s="14" t="n">
        <v>0.1653061224489796</v>
      </c>
      <c r="H6" s="14" t="n">
        <v>0.1723404255319149</v>
      </c>
      <c r="I6" s="15" t="n">
        <v>4.423076923076923</v>
      </c>
      <c r="J6" s="15" t="n">
        <v>0.425531914893617</v>
      </c>
      <c r="K6" s="14" t="n">
        <v>0.263265306122449</v>
      </c>
      <c r="L6" s="16" t="n">
        <v>95.7</v>
      </c>
      <c r="M6" s="10" t="inlineStr">
        <is>
          <t>A</t>
        </is>
      </c>
    </row>
    <row r="7">
      <c r="A7" s="4" t="n">
        <v>3</v>
      </c>
      <c r="B7" s="4" t="inlineStr">
        <is>
          <t>Summit Logistics</t>
        </is>
      </c>
      <c r="C7" s="5" t="n">
        <v>2024</v>
      </c>
      <c r="D7" s="6" t="n">
        <v>18700000</v>
      </c>
      <c r="E7" s="7" t="n">
        <v>0.002691814388005032</v>
      </c>
      <c r="F7" s="7" t="n">
        <v>0.21</v>
      </c>
      <c r="G7" s="7" t="n">
        <v>-0.01385026737967915</v>
      </c>
      <c r="H7" s="7" t="n">
        <v>-0.04245901639344262</v>
      </c>
      <c r="I7" s="8" t="n">
        <v>0.7419354838709677</v>
      </c>
      <c r="J7" s="8" t="n">
        <v>3.131147540983607</v>
      </c>
      <c r="K7" s="7" t="n">
        <v>-0.04331550802139037</v>
      </c>
      <c r="L7" s="9" t="n">
        <v>7.9</v>
      </c>
      <c r="M7" s="17" t="inlineStr">
        <is>
          <t>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2026-10-04T22:07:18Z</dcterms:created>
  <dcterms:modified xsi:type="dcterms:W3CDTF">2026-10-04T22:07:18Z</dcterms:modified>
</cp:coreProperties>
</file>