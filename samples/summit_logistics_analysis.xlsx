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ancials" sheetId="2" state="visible" r:id="rId2"/>
    <sheet name="Ratios" sheetId="3" state="visible" r:id="rId3"/>
    <sheet name="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$* #,##0_);_($* (#,##0);_($* &quot;-&quot;_);_(@_)"/>
    <numFmt numFmtId="165" formatCode="0.0%"/>
    <numFmt numFmtId="166" formatCode="0.00&quot;x&quot;"/>
  </numFmts>
  <fonts count="13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66666"/>
      <sz val="10"/>
    </font>
    <font>
      <b val="1"/>
      <color rgb="00FFFFFF"/>
    </font>
    <font>
      <b val="1"/>
      <color rgb="001F3A5F"/>
      <sz val="12"/>
    </font>
    <font>
      <b val="1"/>
      <color rgb="001565C0"/>
    </font>
    <font>
      <i val="1"/>
      <color rgb="001565C0"/>
    </font>
    <font>
      <b val="1"/>
      <color rgb="00FFFFFF"/>
      <sz val="9"/>
    </font>
    <font>
      <b val="1"/>
      <color rgb="001F3A5F"/>
      <sz val="16"/>
    </font>
    <font>
      <b val="1"/>
      <color rgb="00C62828"/>
      <sz val="28"/>
    </font>
    <font>
      <b val="1"/>
      <color rgb="00FFFFFF"/>
      <sz val="20"/>
    </font>
    <font>
      <b val="1"/>
      <color rgb="00C62828"/>
      <sz val="12"/>
    </font>
    <font>
      <color rgb="00C62828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  <fill>
      <patternFill patternType="solid">
        <fgColor rgb="00FFF8E1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165" fontId="5" fillId="4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Net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'Financials'!A5</f>
            </strRef>
          </tx>
          <spPr>
            <a:ln>
              <a:prstDash val="solid"/>
            </a:ln>
          </spPr>
          <cat>
            <numRef>
              <f>'Financials'!$B$4:$F$4</f>
            </numRef>
          </cat>
          <val>
            <numRef>
              <f>'Financials'!$B$5:$F$5</f>
            </numRef>
          </val>
        </ser>
        <ser>
          <idx val="1"/>
          <order val="1"/>
          <tx>
            <strRef>
              <f>'Financials'!A10</f>
            </strRef>
          </tx>
          <spPr>
            <a:ln>
              <a:prstDash val="solid"/>
            </a:ln>
          </spPr>
          <cat>
            <numRef>
              <f>'Financials'!$B$4:$F$4</f>
            </numRef>
          </cat>
          <val>
            <numRef>
              <f>'Financials'!$B$10:$F$10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'Ratios'!A5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'Ratios'!$B$5:$F$5</f>
            </numRef>
          </val>
        </ser>
        <ser>
          <idx val="1"/>
          <order val="1"/>
          <tx>
            <strRef>
              <f>'Ratios'!A6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'Ratios'!$B$6:$F$6</f>
            </numRef>
          </val>
        </ser>
        <ser>
          <idx val="2"/>
          <order val="2"/>
          <tx>
            <strRef>
              <f>'Ratios'!A7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'Ratios'!$B$7:$F$7</f>
            </numRef>
          </val>
        </ser>
        <ser>
          <idx val="3"/>
          <order val="3"/>
          <tx>
            <strRef>
              <f>'Ratios'!A16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'Ratios'!$B$16:$F$16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Net Income: Actual +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'Forecast'!$A$9:$A$16</f>
            </numRef>
          </cat>
          <val>
            <numRef>
              <f>'Forecast'!$B$9:$B$16</f>
            </numRef>
          </val>
        </ser>
        <ser>
          <idx val="1"/>
          <order val="1"/>
          <tx>
            <strRef>
              <f>'Forecast'!C8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'Forecast'!$A$9:$A$16</f>
            </numRef>
          </cat>
          <val>
            <numRef>
              <f>'Forecast'!$C$9:$C$16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Summit Logistics — Company Analysis</t>
        </is>
      </c>
    </row>
    <row r="2">
      <c r="A2" s="2" t="inlineStr">
        <is>
          <t>Generated October 04, 2026</t>
        </is>
      </c>
    </row>
    <row r="4">
      <c r="A4" s="3" t="inlineStr">
        <is>
          <t>Revenue 2024</t>
        </is>
      </c>
      <c r="B4" s="3" t="inlineStr">
        <is>
          <t>Revenue CAGR</t>
        </is>
      </c>
      <c r="C4" s="3" t="inlineStr">
        <is>
          <t>Net Margin</t>
        </is>
      </c>
      <c r="D4" s="3" t="inlineStr">
        <is>
          <t>ROE</t>
        </is>
      </c>
      <c r="E4" s="3" t="inlineStr">
        <is>
          <t>Current Ratio</t>
        </is>
      </c>
      <c r="F4" s="3" t="inlineStr">
        <is>
          <t>Debt / Equity</t>
        </is>
      </c>
    </row>
    <row r="5" ht="30" customHeight="1">
      <c r="A5" s="4" t="inlineStr">
        <is>
          <t>$18.7M</t>
        </is>
      </c>
      <c r="B5" s="4" t="inlineStr">
        <is>
          <t>0.3%</t>
        </is>
      </c>
      <c r="C5" s="4" t="inlineStr">
        <is>
          <t>-1.4%</t>
        </is>
      </c>
      <c r="D5" s="4" t="inlineStr">
        <is>
          <t>-4.2%</t>
        </is>
      </c>
      <c r="E5" s="4" t="inlineStr">
        <is>
          <t>0.74x</t>
        </is>
      </c>
      <c r="F5" s="4" t="inlineStr">
        <is>
          <t>3.13x</t>
        </is>
      </c>
    </row>
    <row r="7">
      <c r="A7" s="5" t="inlineStr">
        <is>
          <t>Financial Health Score</t>
        </is>
      </c>
    </row>
    <row r="8" ht="40" customHeight="1">
      <c r="A8" s="6" t="n">
        <v>7.9</v>
      </c>
      <c r="B8" s="7" t="inlineStr">
        <is>
          <t>Grade F</t>
        </is>
      </c>
    </row>
    <row r="10">
      <c r="A10" s="8" t="inlineStr">
        <is>
          <t>Component</t>
        </is>
      </c>
      <c r="B10" s="8" t="inlineStr">
        <is>
          <t>Weight</t>
        </is>
      </c>
      <c r="C10" s="8" t="inlineStr">
        <is>
          <t>Score</t>
        </is>
      </c>
    </row>
    <row r="11">
      <c r="A11" s="9" t="inlineStr">
        <is>
          <t>Profitability</t>
        </is>
      </c>
      <c r="B11" s="10" t="n">
        <v>0.25</v>
      </c>
      <c r="C11" s="10" t="n">
        <v>0</v>
      </c>
    </row>
    <row r="12">
      <c r="A12" s="9" t="inlineStr">
        <is>
          <t>Growth</t>
        </is>
      </c>
      <c r="B12" s="10" t="n">
        <v>0.25</v>
      </c>
      <c r="C12" s="10" t="n">
        <v>0.01794542925336688</v>
      </c>
    </row>
    <row r="13">
      <c r="A13" s="9" t="inlineStr">
        <is>
          <t>Liquidity</t>
        </is>
      </c>
      <c r="B13" s="10" t="n">
        <v>0.2</v>
      </c>
      <c r="C13" s="10" t="n">
        <v>0.3709677419354839</v>
      </c>
    </row>
    <row r="14">
      <c r="A14" s="9" t="inlineStr">
        <is>
          <t>Leverage</t>
        </is>
      </c>
      <c r="B14" s="10" t="n">
        <v>0.15</v>
      </c>
      <c r="C14" s="10" t="n">
        <v>0</v>
      </c>
    </row>
    <row r="15">
      <c r="A15" s="9" t="inlineStr">
        <is>
          <t>Cash Generation</t>
        </is>
      </c>
      <c r="B15" s="10" t="n">
        <v>0.15</v>
      </c>
      <c r="C15" s="10" t="n">
        <v>0</v>
      </c>
    </row>
    <row r="17">
      <c r="A17" s="5" t="inlineStr">
        <is>
          <t>Key Insights</t>
        </is>
      </c>
    </row>
    <row r="18">
      <c r="A18" t="inlineStr">
        <is>
          <t>✔  Revenue grew from $18.5M to $18.7M (0.3% CAGR over 4 years).</t>
        </is>
      </c>
    </row>
    <row r="19">
      <c r="A19" t="inlineStr">
        <is>
          <t>✔  Net margin contracted from 2.1% to -1.4%.</t>
        </is>
      </c>
    </row>
    <row r="20">
      <c r="A20" t="inlineStr">
        <is>
          <t>✔  Gross margin of 21.0% in 2024.</t>
        </is>
      </c>
    </row>
    <row r="21">
      <c r="A21" t="inlineStr">
        <is>
          <t>✔  Return on equity is weak at -4.2%.</t>
        </is>
      </c>
    </row>
    <row r="23">
      <c r="A23" s="11" t="inlineStr">
        <is>
          <t>Watch-outs</t>
        </is>
      </c>
    </row>
    <row r="24">
      <c r="A24" s="12" t="inlineStr">
        <is>
          <t>⚠  Revenue fell 3.1% in 2024.</t>
        </is>
      </c>
    </row>
    <row r="25">
      <c r="A25" s="12" t="inlineStr">
        <is>
          <t>⚠  The company lost money in 2024 (net margin -1.4%).</t>
        </is>
      </c>
    </row>
    <row r="26">
      <c r="A26" s="12" t="inlineStr">
        <is>
          <t>⚠  Current ratio of 0.74x — short-term liabilities exceed current assets.</t>
        </is>
      </c>
    </row>
    <row r="27">
      <c r="A27" s="12" t="inlineStr">
        <is>
          <t>⚠  High leverage: debt-to-equity of 3.13x.</t>
        </is>
      </c>
    </row>
    <row r="28">
      <c r="A28" s="12" t="inlineStr">
        <is>
          <t>⚠  Interest coverage is thin at 0.7x operating income.</t>
        </is>
      </c>
    </row>
    <row r="29">
      <c r="A29" s="12" t="inlineStr">
        <is>
          <t>⚠  Negative free cash flow of -$810.0K in 2024.</t>
        </is>
      </c>
    </row>
    <row r="31">
      <c r="A31" s="2" t="inlineStr">
        <is>
          <t>Score = weighted blend of net margin, revenue CAGR, current ratio, debt-to-equity and FCF margin. For informational purposes only.</t>
        </is>
      </c>
    </row>
  </sheetData>
  <conditionalFormatting sqref="C11:C15">
    <cfRule type="dataBar" priority="1">
      <dataBar>
        <cfvo type="num" val="0"/>
        <cfvo type="num" val="1"/>
        <color rgb="001F3A5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Summit Logistics — Financial Statements</t>
        </is>
      </c>
    </row>
    <row r="2">
      <c r="A2" s="2" t="inlineStr">
        <is>
          <t>Generated October 04, 2026</t>
        </is>
      </c>
    </row>
    <row r="4">
      <c r="A4" s="8" t="inlineStr">
        <is>
          <t>Line Item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</row>
    <row r="5">
      <c r="A5" s="9" t="inlineStr">
        <is>
          <t>Revenue</t>
        </is>
      </c>
      <c r="B5" s="13" t="n">
        <v>18500000</v>
      </c>
      <c r="C5" s="13" t="n">
        <v>19200000</v>
      </c>
      <c r="D5" s="13" t="n">
        <v>19900000</v>
      </c>
      <c r="E5" s="13" t="n">
        <v>19300000</v>
      </c>
      <c r="F5" s="13" t="n">
        <v>18700000</v>
      </c>
    </row>
    <row r="6">
      <c r="A6" s="14" t="inlineStr">
        <is>
          <t>Cost of Goods Sold</t>
        </is>
      </c>
      <c r="B6" s="15" t="n">
        <v>14060000</v>
      </c>
      <c r="C6" s="15" t="n">
        <v>14784000</v>
      </c>
      <c r="D6" s="15" t="n">
        <v>15522000</v>
      </c>
      <c r="E6" s="15" t="n">
        <v>15247000</v>
      </c>
      <c r="F6" s="15" t="n">
        <v>14773000</v>
      </c>
    </row>
    <row r="7">
      <c r="A7" s="9" t="inlineStr">
        <is>
          <t>Operating Expenses</t>
        </is>
      </c>
      <c r="B7" s="13" t="n">
        <v>3330000</v>
      </c>
      <c r="C7" s="13" t="n">
        <v>3456000</v>
      </c>
      <c r="D7" s="13" t="n">
        <v>3582000</v>
      </c>
      <c r="E7" s="13" t="n">
        <v>3474000</v>
      </c>
      <c r="F7" s="13" t="n">
        <v>3366000</v>
      </c>
    </row>
    <row r="8">
      <c r="A8" s="14" t="inlineStr">
        <is>
          <t>Interest Expense</t>
        </is>
      </c>
      <c r="B8" s="15" t="n">
        <v>610000</v>
      </c>
      <c r="C8" s="15" t="n">
        <v>650000</v>
      </c>
      <c r="D8" s="15" t="n">
        <v>720000</v>
      </c>
      <c r="E8" s="15" t="n">
        <v>780000</v>
      </c>
      <c r="F8" s="15" t="n">
        <v>820000</v>
      </c>
    </row>
    <row r="9">
      <c r="A9" s="9" t="inlineStr">
        <is>
          <t>Taxes</t>
        </is>
      </c>
      <c r="B9" s="13" t="n">
        <v>120000</v>
      </c>
      <c r="C9" s="13" t="n">
        <v>90000</v>
      </c>
      <c r="D9" s="13" t="n">
        <v>20000</v>
      </c>
      <c r="E9" s="13" t="n">
        <v>0</v>
      </c>
      <c r="F9" s="13" t="n">
        <v>0</v>
      </c>
    </row>
    <row r="10">
      <c r="A10" s="14" t="inlineStr">
        <is>
          <t>Net Income</t>
        </is>
      </c>
      <c r="B10" s="15" t="n">
        <v>380000</v>
      </c>
      <c r="C10" s="15" t="n">
        <v>220000</v>
      </c>
      <c r="D10" s="15" t="n">
        <v>56000</v>
      </c>
      <c r="E10" s="15" t="n">
        <v>-201000</v>
      </c>
      <c r="F10" s="15" t="n">
        <v>-259000</v>
      </c>
    </row>
    <row r="11">
      <c r="A11" s="9" t="inlineStr">
        <is>
          <t>Total Assets</t>
        </is>
      </c>
      <c r="B11" s="13" t="n">
        <v>22000000</v>
      </c>
      <c r="C11" s="13" t="n">
        <v>23100000</v>
      </c>
      <c r="D11" s="13" t="n">
        <v>24400000</v>
      </c>
      <c r="E11" s="13" t="n">
        <v>24900000</v>
      </c>
      <c r="F11" s="13" t="n">
        <v>25200000</v>
      </c>
    </row>
    <row r="12">
      <c r="A12" s="14" t="inlineStr">
        <is>
          <t>Total Liabilities</t>
        </is>
      </c>
      <c r="B12" s="15" t="n">
        <v>15400000</v>
      </c>
      <c r="C12" s="15" t="n">
        <v>16500000</v>
      </c>
      <c r="D12" s="15" t="n">
        <v>17800000</v>
      </c>
      <c r="E12" s="15" t="n">
        <v>18500000</v>
      </c>
      <c r="F12" s="15" t="n">
        <v>19100000</v>
      </c>
    </row>
    <row r="13">
      <c r="A13" s="9" t="inlineStr">
        <is>
          <t>Shareholder Equity</t>
        </is>
      </c>
      <c r="B13" s="13" t="n">
        <v>6600000</v>
      </c>
      <c r="C13" s="13" t="n">
        <v>6600000</v>
      </c>
      <c r="D13" s="13" t="n">
        <v>6600000</v>
      </c>
      <c r="E13" s="13" t="n">
        <v>6400000</v>
      </c>
      <c r="F13" s="13" t="n">
        <v>6100000</v>
      </c>
    </row>
    <row r="14">
      <c r="A14" s="14" t="inlineStr">
        <is>
          <t>Current Assets</t>
        </is>
      </c>
      <c r="B14" s="15" t="n">
        <v>5200000</v>
      </c>
      <c r="C14" s="15" t="n">
        <v>5100000</v>
      </c>
      <c r="D14" s="15" t="n">
        <v>5000000</v>
      </c>
      <c r="E14" s="15" t="n">
        <v>4800000</v>
      </c>
      <c r="F14" s="15" t="n">
        <v>4600000</v>
      </c>
    </row>
    <row r="15">
      <c r="A15" s="9" t="inlineStr">
        <is>
          <t>Current Liabilities</t>
        </is>
      </c>
      <c r="B15" s="13" t="n">
        <v>4900000</v>
      </c>
      <c r="C15" s="13" t="n">
        <v>5300000</v>
      </c>
      <c r="D15" s="13" t="n">
        <v>5700000</v>
      </c>
      <c r="E15" s="13" t="n">
        <v>6000000</v>
      </c>
      <c r="F15" s="13" t="n">
        <v>6200000</v>
      </c>
    </row>
    <row r="16">
      <c r="A16" s="14" t="inlineStr">
        <is>
          <t>Cash</t>
        </is>
      </c>
      <c r="B16" s="15" t="n">
        <v>900000</v>
      </c>
      <c r="C16" s="15" t="n">
        <v>700000</v>
      </c>
      <c r="D16" s="15" t="n">
        <v>520000</v>
      </c>
      <c r="E16" s="15" t="n">
        <v>410000</v>
      </c>
      <c r="F16" s="15" t="n">
        <v>350000</v>
      </c>
    </row>
    <row r="17">
      <c r="A17" s="9" t="inlineStr">
        <is>
          <t>Operating Cash Flow</t>
        </is>
      </c>
      <c r="B17" s="13" t="n">
        <v>1450000</v>
      </c>
      <c r="C17" s="13" t="n">
        <v>1200000</v>
      </c>
      <c r="D17" s="13" t="n">
        <v>980000</v>
      </c>
      <c r="E17" s="13" t="n">
        <v>760000</v>
      </c>
      <c r="F17" s="13" t="n">
        <v>690000</v>
      </c>
    </row>
    <row r="18">
      <c r="A18" s="14" t="inlineStr">
        <is>
          <t>Capital Expenditures</t>
        </is>
      </c>
      <c r="B18" s="15" t="n">
        <v>1900000</v>
      </c>
      <c r="C18" s="15" t="n">
        <v>2100000</v>
      </c>
      <c r="D18" s="15" t="n">
        <v>2300000</v>
      </c>
      <c r="E18" s="15" t="n">
        <v>1800000</v>
      </c>
      <c r="F18" s="15" t="n">
        <v>1500000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Summit Logistics — Key Ratios</t>
        </is>
      </c>
    </row>
    <row r="2">
      <c r="A2" s="2" t="inlineStr">
        <is>
          <t>Generated October 04, 2026 · Live formulas linked to Financials</t>
        </is>
      </c>
    </row>
    <row r="4">
      <c r="A4" s="8" t="inlineStr">
        <is>
          <t>Ratio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</row>
    <row r="5">
      <c r="A5" s="9" t="inlineStr">
        <is>
          <t>Gross Margin</t>
        </is>
      </c>
      <c r="B5" s="16">
        <f>IFERROR((Financials!$B$5-Financials!$B$6)/Financials!$B$5,"")</f>
        <v/>
      </c>
      <c r="C5" s="16">
        <f>IFERROR((Financials!$C$5-Financials!$C$6)/Financials!$C$5,"")</f>
        <v/>
      </c>
      <c r="D5" s="16">
        <f>IFERROR((Financials!$D$5-Financials!$D$6)/Financials!$D$5,"")</f>
        <v/>
      </c>
      <c r="E5" s="16">
        <f>IFERROR((Financials!$E$5-Financials!$E$6)/Financials!$E$5,"")</f>
        <v/>
      </c>
      <c r="F5" s="16">
        <f>IFERROR((Financials!$F$5-Financials!$F$6)/Financials!$F$5,"")</f>
        <v/>
      </c>
    </row>
    <row r="6">
      <c r="A6" s="14" t="inlineStr">
        <is>
          <t>Operating Margin</t>
        </is>
      </c>
      <c r="B6" s="17">
        <f>IFERROR((Financials!$B$5-Financials!$B$6-Financials!$B$7)/Financials!$B$5,"")</f>
        <v/>
      </c>
      <c r="C6" s="17">
        <f>IFERROR((Financials!$C$5-Financials!$C$6-Financials!$C$7)/Financials!$C$5,"")</f>
        <v/>
      </c>
      <c r="D6" s="17">
        <f>IFERROR((Financials!$D$5-Financials!$D$6-Financials!$D$7)/Financials!$D$5,"")</f>
        <v/>
      </c>
      <c r="E6" s="17">
        <f>IFERROR((Financials!$E$5-Financials!$E$6-Financials!$E$7)/Financials!$E$5,"")</f>
        <v/>
      </c>
      <c r="F6" s="17">
        <f>IFERROR((Financials!$F$5-Financials!$F$6-Financials!$F$7)/Financials!$F$5,"")</f>
        <v/>
      </c>
    </row>
    <row r="7">
      <c r="A7" s="9" t="inlineStr">
        <is>
          <t>Net Margin</t>
        </is>
      </c>
      <c r="B7" s="16">
        <f>IFERROR(Financials!$B$10/Financials!$B$5,"")</f>
        <v/>
      </c>
      <c r="C7" s="16">
        <f>IFERROR(Financials!$C$10/Financials!$C$5,"")</f>
        <v/>
      </c>
      <c r="D7" s="16">
        <f>IFERROR(Financials!$D$10/Financials!$D$5,"")</f>
        <v/>
      </c>
      <c r="E7" s="16">
        <f>IFERROR(Financials!$E$10/Financials!$E$5,"")</f>
        <v/>
      </c>
      <c r="F7" s="16">
        <f>IFERROR(Financials!$F$10/Financials!$F$5,"")</f>
        <v/>
      </c>
    </row>
    <row r="8">
      <c r="A8" s="14" t="inlineStr">
        <is>
          <t>Revenue Growth (YoY)</t>
        </is>
      </c>
      <c r="B8" s="17" t="n"/>
      <c r="C8" s="17">
        <f>IFERROR((Financials!$C$5-Financials!$B$5)/ABS(Financials!$B$5),"")</f>
        <v/>
      </c>
      <c r="D8" s="17">
        <f>IFERROR((Financials!$D$5-Financials!$C$5)/ABS(Financials!$C$5),"")</f>
        <v/>
      </c>
      <c r="E8" s="17">
        <f>IFERROR((Financials!$E$5-Financials!$D$5)/ABS(Financials!$D$5),"")</f>
        <v/>
      </c>
      <c r="F8" s="17">
        <f>IFERROR((Financials!$F$5-Financials!$E$5)/ABS(Financials!$E$5),"")</f>
        <v/>
      </c>
    </row>
    <row r="9">
      <c r="A9" s="9" t="inlineStr">
        <is>
          <t>Net Income Growth (YoY)</t>
        </is>
      </c>
      <c r="B9" s="16" t="n"/>
      <c r="C9" s="16">
        <f>IFERROR((Financials!$C$10-Financials!$B$10)/ABS(Financials!$B$10),"")</f>
        <v/>
      </c>
      <c r="D9" s="16">
        <f>IFERROR((Financials!$D$10-Financials!$C$10)/ABS(Financials!$C$10),"")</f>
        <v/>
      </c>
      <c r="E9" s="16">
        <f>IFERROR((Financials!$E$10-Financials!$D$10)/ABS(Financials!$D$10),"")</f>
        <v/>
      </c>
      <c r="F9" s="16">
        <f>IFERROR((Financials!$F$10-Financials!$E$10)/ABS(Financials!$E$10),"")</f>
        <v/>
      </c>
    </row>
    <row r="10">
      <c r="A10" s="14" t="inlineStr">
        <is>
          <t>Return on Assets</t>
        </is>
      </c>
      <c r="B10" s="17">
        <f>IFERROR(Financials!$B$10/Financials!$B$11,"")</f>
        <v/>
      </c>
      <c r="C10" s="17">
        <f>IFERROR(Financials!$C$10/Financials!$C$11,"")</f>
        <v/>
      </c>
      <c r="D10" s="17">
        <f>IFERROR(Financials!$D$10/Financials!$D$11,"")</f>
        <v/>
      </c>
      <c r="E10" s="17">
        <f>IFERROR(Financials!$E$10/Financials!$E$11,"")</f>
        <v/>
      </c>
      <c r="F10" s="17">
        <f>IFERROR(Financials!$F$10/Financials!$F$11,"")</f>
        <v/>
      </c>
    </row>
    <row r="11">
      <c r="A11" s="9" t="inlineStr">
        <is>
          <t>Return on Equity</t>
        </is>
      </c>
      <c r="B11" s="16">
        <f>IFERROR(Financials!$B$10/Financials!$B$13,"")</f>
        <v/>
      </c>
      <c r="C11" s="16">
        <f>IFERROR(Financials!$C$10/Financials!$C$13,"")</f>
        <v/>
      </c>
      <c r="D11" s="16">
        <f>IFERROR(Financials!$D$10/Financials!$D$13,"")</f>
        <v/>
      </c>
      <c r="E11" s="16">
        <f>IFERROR(Financials!$E$10/Financials!$E$13,"")</f>
        <v/>
      </c>
      <c r="F11" s="16">
        <f>IFERROR(Financials!$F$10/Financials!$F$13,"")</f>
        <v/>
      </c>
    </row>
    <row r="12">
      <c r="A12" s="14" t="inlineStr">
        <is>
          <t>Current Ratio</t>
        </is>
      </c>
      <c r="B12" s="18">
        <f>IFERROR(Financials!$B$14/Financials!$B$15,"")</f>
        <v/>
      </c>
      <c r="C12" s="18">
        <f>IFERROR(Financials!$C$14/Financials!$C$15,"")</f>
        <v/>
      </c>
      <c r="D12" s="18">
        <f>IFERROR(Financials!$D$14/Financials!$D$15,"")</f>
        <v/>
      </c>
      <c r="E12" s="18">
        <f>IFERROR(Financials!$E$14/Financials!$E$15,"")</f>
        <v/>
      </c>
      <c r="F12" s="18">
        <f>IFERROR(Financials!$F$14/Financials!$F$15,"")</f>
        <v/>
      </c>
    </row>
    <row r="13">
      <c r="A13" s="9" t="inlineStr">
        <is>
          <t>Debt to Equity</t>
        </is>
      </c>
      <c r="B13" s="19">
        <f>IFERROR(Financials!$B$12/Financials!$B$13,"")</f>
        <v/>
      </c>
      <c r="C13" s="19">
        <f>IFERROR(Financials!$C$12/Financials!$C$13,"")</f>
        <v/>
      </c>
      <c r="D13" s="19">
        <f>IFERROR(Financials!$D$12/Financials!$D$13,"")</f>
        <v/>
      </c>
      <c r="E13" s="19">
        <f>IFERROR(Financials!$E$12/Financials!$E$13,"")</f>
        <v/>
      </c>
      <c r="F13" s="19">
        <f>IFERROR(Financials!$F$12/Financials!$F$13,"")</f>
        <v/>
      </c>
    </row>
    <row r="14">
      <c r="A14" s="14" t="inlineStr">
        <is>
          <t>Interest Coverage</t>
        </is>
      </c>
      <c r="B14" s="18">
        <f>IFERROR((Financials!$B$5-Financials!$B$6-Financials!$B$7)/Financials!$B$8,"")</f>
        <v/>
      </c>
      <c r="C14" s="18">
        <f>IFERROR((Financials!$C$5-Financials!$C$6-Financials!$C$7)/Financials!$C$8,"")</f>
        <v/>
      </c>
      <c r="D14" s="18">
        <f>IFERROR((Financials!$D$5-Financials!$D$6-Financials!$D$7)/Financials!$D$8,"")</f>
        <v/>
      </c>
      <c r="E14" s="18">
        <f>IFERROR((Financials!$E$5-Financials!$E$6-Financials!$E$7)/Financials!$E$8,"")</f>
        <v/>
      </c>
      <c r="F14" s="18">
        <f>IFERROR((Financials!$F$5-Financials!$F$6-Financials!$F$7)/Financials!$F$8,"")</f>
        <v/>
      </c>
    </row>
    <row r="15">
      <c r="A15" s="9" t="inlineStr">
        <is>
          <t>Free Cash Flow</t>
        </is>
      </c>
      <c r="B15" s="13">
        <f>IFERROR(Financials!$B$17-Financials!$B$18,"")</f>
        <v/>
      </c>
      <c r="C15" s="13">
        <f>IFERROR(Financials!$C$17-Financials!$C$18,"")</f>
        <v/>
      </c>
      <c r="D15" s="13">
        <f>IFERROR(Financials!$D$17-Financials!$D$18,"")</f>
        <v/>
      </c>
      <c r="E15" s="13">
        <f>IFERROR(Financials!$E$17-Financials!$E$18,"")</f>
        <v/>
      </c>
      <c r="F15" s="13">
        <f>IFERROR(Financials!$F$17-Financials!$F$18,"")</f>
        <v/>
      </c>
    </row>
    <row r="16">
      <c r="A16" s="14" t="inlineStr">
        <is>
          <t>FCF Margin</t>
        </is>
      </c>
      <c r="B16" s="17">
        <f>IFERROR((Financials!$B$17-Financials!$B$18)/Financials!$B$5,"")</f>
        <v/>
      </c>
      <c r="C16" s="17">
        <f>IFERROR((Financials!$C$17-Financials!$C$18)/Financials!$C$5,"")</f>
        <v/>
      </c>
      <c r="D16" s="17">
        <f>IFERROR((Financials!$D$17-Financials!$D$18)/Financials!$D$5,"")</f>
        <v/>
      </c>
      <c r="E16" s="17">
        <f>IFERROR((Financials!$E$17-Financials!$E$18)/Financials!$E$5,"")</f>
        <v/>
      </c>
      <c r="F16" s="17">
        <f>IFERROR((Financials!$F$17-Financials!$F$18)/Financials!$F$5,"")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Summit Logistics — Projection</t>
        </is>
      </c>
    </row>
    <row r="2">
      <c r="A2" s="2" t="inlineStr">
        <is>
          <t>Generated October 04, 2026</t>
        </is>
      </c>
    </row>
    <row r="4">
      <c r="A4" s="5" t="inlineStr">
        <is>
          <t>Assumptions (edit the yellow cells)</t>
        </is>
      </c>
    </row>
    <row r="5">
      <c r="A5" t="inlineStr">
        <is>
          <t>Annual revenue growth</t>
        </is>
      </c>
      <c r="B5" s="20" t="n">
        <v>0.002691814388005032</v>
      </c>
    </row>
    <row r="6">
      <c r="A6" t="inlineStr">
        <is>
          <t>Net margin</t>
        </is>
      </c>
      <c r="B6" s="20" t="n">
        <v>-0.007150234933313692</v>
      </c>
    </row>
    <row r="8">
      <c r="A8" s="8" t="inlineStr">
        <is>
          <t>Year</t>
        </is>
      </c>
      <c r="B8" s="8" t="inlineStr">
        <is>
          <t>Revenue</t>
        </is>
      </c>
      <c r="C8" s="8" t="inlineStr">
        <is>
          <t>Net Income</t>
        </is>
      </c>
      <c r="D8" s="8" t="inlineStr">
        <is>
          <t>Type</t>
        </is>
      </c>
    </row>
    <row r="9">
      <c r="A9" s="9" t="n">
        <v>2020</v>
      </c>
      <c r="B9" s="13" t="n">
        <v>18500000</v>
      </c>
      <c r="C9" s="13" t="n">
        <v>380000</v>
      </c>
      <c r="D9" s="9" t="inlineStr">
        <is>
          <t>Actual</t>
        </is>
      </c>
    </row>
    <row r="10">
      <c r="A10" s="9" t="n">
        <v>2021</v>
      </c>
      <c r="B10" s="13" t="n">
        <v>19200000</v>
      </c>
      <c r="C10" s="13" t="n">
        <v>220000</v>
      </c>
      <c r="D10" s="9" t="inlineStr">
        <is>
          <t>Actual</t>
        </is>
      </c>
    </row>
    <row r="11">
      <c r="A11" s="9" t="n">
        <v>2022</v>
      </c>
      <c r="B11" s="13" t="n">
        <v>19900000</v>
      </c>
      <c r="C11" s="13" t="n">
        <v>56000</v>
      </c>
      <c r="D11" s="9" t="inlineStr">
        <is>
          <t>Actual</t>
        </is>
      </c>
    </row>
    <row r="12">
      <c r="A12" s="9" t="n">
        <v>2023</v>
      </c>
      <c r="B12" s="13" t="n">
        <v>19300000</v>
      </c>
      <c r="C12" s="13" t="n">
        <v>-201000</v>
      </c>
      <c r="D12" s="9" t="inlineStr">
        <is>
          <t>Actual</t>
        </is>
      </c>
    </row>
    <row r="13">
      <c r="A13" s="9" t="n">
        <v>2024</v>
      </c>
      <c r="B13" s="13" t="n">
        <v>18700000</v>
      </c>
      <c r="C13" s="13" t="n">
        <v>-259000</v>
      </c>
      <c r="D13" s="9" t="inlineStr">
        <is>
          <t>Actual</t>
        </is>
      </c>
    </row>
    <row r="14">
      <c r="A14" s="21">
        <f>A13+1</f>
        <v/>
      </c>
      <c r="B14" s="22">
        <f>B13*(1+$B$5)</f>
        <v/>
      </c>
      <c r="C14" s="22">
        <f>B14*$B$6</f>
        <v/>
      </c>
      <c r="D14" s="21" t="inlineStr">
        <is>
          <t>Forecast</t>
        </is>
      </c>
    </row>
    <row r="15">
      <c r="A15" s="21">
        <f>A14+1</f>
        <v/>
      </c>
      <c r="B15" s="22">
        <f>B14*(1+$B$5)</f>
        <v/>
      </c>
      <c r="C15" s="22">
        <f>B15*$B$6</f>
        <v/>
      </c>
      <c r="D15" s="21" t="inlineStr">
        <is>
          <t>Forecast</t>
        </is>
      </c>
    </row>
    <row r="16">
      <c r="A16" s="21">
        <f>A15+1</f>
        <v/>
      </c>
      <c r="B16" s="22">
        <f>B15*(1+$B$5)</f>
        <v/>
      </c>
      <c r="C16" s="22">
        <f>B16*$B$6</f>
        <v/>
      </c>
      <c r="D16" s="21" t="inlineStr">
        <is>
          <t>Forecast</t>
        </is>
      </c>
    </row>
    <row r="18">
      <c r="A18" s="2" t="inlineStr">
        <is>
          <t>Projection uses the historical revenue CAGR and the average net margin of the last 3 years. It is an illustration, not investment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Summit Logistics — Company Analysis</dc:title>
  <dcterms:created xsi:type="dcterms:W3CDTF">2026-10-04T22:07:18Z</dcterms:created>
  <dcterms:modified xsi:type="dcterms:W3CDTF">2026-10-04T22:07:18Z</dcterms:modified>
</cp:coreProperties>
</file>